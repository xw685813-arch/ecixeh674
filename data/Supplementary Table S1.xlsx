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Biomass" sheetId="2" r:id="rId1"/>
    <sheet name="Calcula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<sst xmlns="http://schemas.openxmlformats.org/spreadsheetml/2006/main" count="251" uniqueCount="194">
  <si>
    <t xml:space="preserve">Biomass composition </t>
  </si>
  <si>
    <t>Biomass component</t>
  </si>
  <si>
    <t>Mass (g)/ (gDW)</t>
  </si>
  <si>
    <t>Protein</t>
  </si>
  <si>
    <t>DNA</t>
  </si>
  <si>
    <t>RNA</t>
  </si>
  <si>
    <t>Glycogen</t>
  </si>
  <si>
    <t>Murein</t>
  </si>
  <si>
    <t>LPS</t>
  </si>
  <si>
    <t>Lipid</t>
  </si>
  <si>
    <t>Inorganic ions</t>
  </si>
  <si>
    <t>Soluble pool</t>
  </si>
  <si>
    <t>Sum</t>
  </si>
  <si>
    <t>Table S1. Amino acid composition of Ethanoligens harbinense YUAN-3.</t>
  </si>
  <si>
    <t>Macromolecule</t>
  </si>
  <si>
    <t>Metabolite</t>
  </si>
  <si>
    <t>Metabolite ID</t>
  </si>
  <si>
    <t>MW g/mol</t>
  </si>
  <si>
    <t>Mass content mg/gDW</t>
  </si>
  <si>
    <t>Content in biomass mmol/gDW</t>
  </si>
  <si>
    <t>protein</t>
  </si>
  <si>
    <t>L-Tryptophan</t>
  </si>
  <si>
    <t>cpd00065</t>
  </si>
  <si>
    <t>L-Leucine</t>
  </si>
  <si>
    <t>cpd00107</t>
  </si>
  <si>
    <t>L-Isoleucine</t>
  </si>
  <si>
    <t>cpd00322</t>
  </si>
  <si>
    <t>L-Aspartate</t>
  </si>
  <si>
    <t>cpd00041</t>
  </si>
  <si>
    <t>L-Asparagine</t>
  </si>
  <si>
    <t>cpd00132</t>
  </si>
  <si>
    <t>L-Histidine</t>
  </si>
  <si>
    <t>cpd00119</t>
  </si>
  <si>
    <t>L-Valine</t>
  </si>
  <si>
    <t>cpd00156</t>
  </si>
  <si>
    <t>L-Methionine</t>
  </si>
  <si>
    <t>cpd00060</t>
  </si>
  <si>
    <t>L-Phenylalanine</t>
  </si>
  <si>
    <t>cpd00066</t>
  </si>
  <si>
    <t>L-Arginine</t>
  </si>
  <si>
    <t>cpd00051</t>
  </si>
  <si>
    <t>L-Glutamate</t>
  </si>
  <si>
    <t>cpd00023</t>
  </si>
  <si>
    <t>L-Glutamine</t>
  </si>
  <si>
    <t>cpd00053</t>
  </si>
  <si>
    <t>L-Alanine</t>
  </si>
  <si>
    <t>cpd00035</t>
  </si>
  <si>
    <t>Glycine</t>
  </si>
  <si>
    <t>cpd00033</t>
  </si>
  <si>
    <t>L-Lysine</t>
  </si>
  <si>
    <t>cpd00039</t>
  </si>
  <si>
    <t>L-Threonine</t>
  </si>
  <si>
    <t>cpd00161</t>
  </si>
  <si>
    <t>L-Proline</t>
  </si>
  <si>
    <t>cpd00129</t>
  </si>
  <si>
    <t>L-Tyrosine</t>
  </si>
  <si>
    <t>cpd00069</t>
  </si>
  <si>
    <t>L-Serine</t>
  </si>
  <si>
    <t>cpd00054</t>
  </si>
  <si>
    <t>L-Cysteine</t>
  </si>
  <si>
    <t>cpd00084</t>
  </si>
  <si>
    <t>Table S2. DNA composition of Ethanoligens harbinense YUAN-3.</t>
  </si>
  <si>
    <t>dAMP</t>
  </si>
  <si>
    <t>cpd00294</t>
  </si>
  <si>
    <t>dTMP</t>
  </si>
  <si>
    <t>cpd00298</t>
  </si>
  <si>
    <t>dGMP</t>
  </si>
  <si>
    <t>cpd00296</t>
  </si>
  <si>
    <t>dCMP</t>
  </si>
  <si>
    <t>cpd00206</t>
  </si>
  <si>
    <t>Table S3. RNA composition of Ethanoligens harbinense YUAN-3.</t>
  </si>
  <si>
    <t>AMP</t>
  </si>
  <si>
    <t>cpd00018</t>
  </si>
  <si>
    <t>UMP</t>
  </si>
  <si>
    <t>cpd00091</t>
  </si>
  <si>
    <t>GMP</t>
  </si>
  <si>
    <t>cpd00126</t>
  </si>
  <si>
    <t>CMP</t>
  </si>
  <si>
    <t>cpd00046</t>
  </si>
  <si>
    <t>Table S4. Glycogen composition of Ethanoligens harbinense YUAN-3.</t>
  </si>
  <si>
    <t>cpd00155</t>
  </si>
  <si>
    <t>Table S5. Murein composition of Ethanoligens harbinense YUAN-3.</t>
  </si>
  <si>
    <t>two linked disacharide tetrapeptide murein units (uncrosslinked, middle of chain)</t>
  </si>
  <si>
    <t>cpd15505</t>
  </si>
  <si>
    <t>two linked disacharide tripeptide murein units (uncrosslinked, middle of chain)</t>
  </si>
  <si>
    <t>cpd15501</t>
  </si>
  <si>
    <t>two disacharide linked murein units, tetrapeptide corsslinked tetrapeptide (A2pm-&gt;D-ala) (middle of chain)</t>
  </si>
  <si>
    <t>cpd15506</t>
  </si>
  <si>
    <t>two disacharide linked murein units, tripeptide crosslinked tetrapeptide (A2pm-&gt;D-ala) (middle of chain)</t>
  </si>
  <si>
    <t>cpd15503</t>
  </si>
  <si>
    <t>three disacharide linked murein units (tetrapeptide crosslinked tetrapeptide (A2pm-&gt;D-ala) &amp; tetrapeptide corsslinked tetrapeptide (A2pm-&gt;D-ala)) (middle of chain)</t>
  </si>
  <si>
    <t>cpd15508</t>
  </si>
  <si>
    <t>Table S6. LPS composition of Ethanoligens harbinense YUAN-3.</t>
  </si>
  <si>
    <t>core oligosaccharide lipid A</t>
  </si>
  <si>
    <t>cpd15432</t>
  </si>
  <si>
    <t>Table S7. Lipid composition of Ethanoligens harbinense YUAN-3.</t>
  </si>
  <si>
    <t>phosphatidylethanolamine dihexadecanoyl</t>
  </si>
  <si>
    <t>cpd15531</t>
  </si>
  <si>
    <t>phosphatidylethanolamine dioctadec-11-enoyl</t>
  </si>
  <si>
    <t>cpd15534</t>
  </si>
  <si>
    <t>Phosphatidylglycerol dihexadecanoyl</t>
  </si>
  <si>
    <t>cpd15538</t>
  </si>
  <si>
    <t>Phosphatidylglycerol dioctadec-11-enoyl</t>
  </si>
  <si>
    <t>cpd15541</t>
  </si>
  <si>
    <t>cardiolipin tetrahexadecanoyl</t>
  </si>
  <si>
    <t>cpd15428</t>
  </si>
  <si>
    <t>cardiolipin tetraoctadec-11-enoyl</t>
  </si>
  <si>
    <t>cpd15431</t>
  </si>
  <si>
    <t>Table S8. Inorganic ions composition of Ethanoligens harbinense YUAN-3.</t>
  </si>
  <si>
    <t>K+</t>
  </si>
  <si>
    <t>cpd00205</t>
  </si>
  <si>
    <t>NH3</t>
  </si>
  <si>
    <t>cpd00013</t>
  </si>
  <si>
    <t>Mg2+</t>
  </si>
  <si>
    <t>cpd00254</t>
  </si>
  <si>
    <t>Ca2+</t>
  </si>
  <si>
    <t>cpd00063</t>
  </si>
  <si>
    <t>Fe2+</t>
  </si>
  <si>
    <t>cpd10515</t>
  </si>
  <si>
    <t>Fe3+</t>
  </si>
  <si>
    <t>cpd10516</t>
  </si>
  <si>
    <t>Cu2+</t>
  </si>
  <si>
    <t>cpd00058</t>
  </si>
  <si>
    <t>Mn2+</t>
  </si>
  <si>
    <t>cpd00030</t>
  </si>
  <si>
    <t>Co2+</t>
  </si>
  <si>
    <t>cpd00149</t>
  </si>
  <si>
    <t>Zn2+</t>
  </si>
  <si>
    <t>cpd00034</t>
  </si>
  <si>
    <t>Cl-</t>
  </si>
  <si>
    <t>cpd00099</t>
  </si>
  <si>
    <t>Sulfate</t>
  </si>
  <si>
    <t>cpd00048</t>
  </si>
  <si>
    <t>Phosphate</t>
  </si>
  <si>
    <t>cpd00009</t>
  </si>
  <si>
    <t>Table S9. Soluble pool composition of Ethanoligens harbinense YUAN-3.</t>
  </si>
  <si>
    <t>Putrescine</t>
  </si>
  <si>
    <t>cpd00118</t>
  </si>
  <si>
    <t>Spermidine</t>
  </si>
  <si>
    <t>cpd00264</t>
  </si>
  <si>
    <t>Acetyl-CoA</t>
  </si>
  <si>
    <t>cpd00022</t>
  </si>
  <si>
    <t>CoA</t>
  </si>
  <si>
    <t>cpd00010</t>
  </si>
  <si>
    <t>Succinyl-CoA</t>
  </si>
  <si>
    <t>cpd00078</t>
  </si>
  <si>
    <t>Malonyl-CoA</t>
  </si>
  <si>
    <t>cpd00070</t>
  </si>
  <si>
    <t>NAD</t>
  </si>
  <si>
    <t>cpd00003</t>
  </si>
  <si>
    <t>NADH</t>
  </si>
  <si>
    <t>cpd00004</t>
  </si>
  <si>
    <t>NADP</t>
  </si>
  <si>
    <t>cpd00006</t>
  </si>
  <si>
    <t>NADPH</t>
  </si>
  <si>
    <t>cpd00005</t>
  </si>
  <si>
    <t>FAD</t>
  </si>
  <si>
    <t>cpd00015</t>
  </si>
  <si>
    <t>Tetrahydrofolate</t>
  </si>
  <si>
    <t>cpd00087</t>
  </si>
  <si>
    <t>5-10-Methylenetetrahydrofolate
folate</t>
  </si>
  <si>
    <t>cpd00125</t>
  </si>
  <si>
    <t>5-Methyltetrahydrofolate</t>
  </si>
  <si>
    <t>cpd00345</t>
  </si>
  <si>
    <t>TPP</t>
  </si>
  <si>
    <t>cpd00056</t>
  </si>
  <si>
    <t>2-Demethylmenaquinol-8</t>
  </si>
  <si>
    <t>cpd15353</t>
  </si>
  <si>
    <t>Menaquinol-8</t>
  </si>
  <si>
    <t>cpd15499</t>
  </si>
  <si>
    <t>Pyridoxal-phosphate</t>
  </si>
  <si>
    <t>cpd00016</t>
  </si>
  <si>
    <t>Heme</t>
  </si>
  <si>
    <t>cpd00028</t>
  </si>
  <si>
    <t>Siroheme</t>
  </si>
  <si>
    <t>cpd00557</t>
  </si>
  <si>
    <t>Enterobactin</t>
  </si>
  <si>
    <t>cpd03453</t>
  </si>
  <si>
    <t>GSH</t>
  </si>
  <si>
    <t>cpd00042</t>
  </si>
  <si>
    <t>Bactoprenyl-diphosphate</t>
  </si>
  <si>
    <t>cpd02229</t>
  </si>
  <si>
    <t>10-Formyltetrahydrofolate</t>
  </si>
  <si>
    <t>cpd00201</t>
  </si>
  <si>
    <t>Chorismate</t>
  </si>
  <si>
    <t>cpd00216</t>
  </si>
  <si>
    <t>S-Adenosyl-L-methionine</t>
  </si>
  <si>
    <t>cpd00017</t>
  </si>
  <si>
    <t>Riboflavin</t>
  </si>
  <si>
    <t>cpd00220</t>
  </si>
  <si>
    <t>GAM</t>
  </si>
  <si>
    <t>NGAM</t>
  </si>
  <si>
    <t>BIOMASS</t>
  </si>
  <si>
    <t>0.00547435897435896 cpd00065_c0 + 0.0672413450208917 cpd00107_c0 + 0.138061538461538 cpd00322_c0 + 0.394902564102564 cpd00041_c0 + 0.0666850469971614 cpd00132_c0 + 0.0474153846153846 cpd00119_c0 + 0.183258974358974 cpd00156_c0 + 0.074651282051282 cpd00060_c0 + 0.137971794871795 cpd00066_c0 + 0.186889743589743 cpd00051_c0 + 0.775692307692308 cpd00023_c0 + 0.0593847749768917 cpd00053_c0 + 0.440946153846154 cpd00035_c0 + 0.862192307692307 cpd00033_c0 + 0.226276923076923 cpd00039_c0 + 0.108092307692308 cpd00161_c0 + 0.2684 cpd00129_c0 + 0.0885897435897436 cpd00069_c0 + 0.18874358974359 cpd00054_c0 + 0.0187307692307692 cpd00084_c0 + 0.0195262735423249 cpd00294_c0 + 0.0212593747443064 cpd00298_c0 + 0.0245531537144046 cpd00296_c0 + 0.0279491639100345 cpd00206_c0 + 0.0896769950603506 cpd00018_c0 + 0.0966539015883617 cpd00091_c0 + 0.106550809553473 cpd00126_c0 + 0.121575812441572 cpd00046_c0 + 0.009526 cpd00155_c0 + 0.0120484742497225 cpd15505_c0 + 0.00301211856243064 cpd15501_c0 + 0.0121990801778441 cpd15506_c0 + 0.00135545335309379 cpd15503_c0 + 0.00150605928121532 cpd15508_c0 + 0.0182514738071093 cpd15432_c0 + 0.15233339791299 cpd15531_c0 + 0.0610661115816777 cpd15534_c0 + 0.0365591396880726 cpd15538_c0 + 0.0146555156919507 cpd15541_c0 + 0.0101554271622228 cpd15428_c0 + 0.00407102091034639 cpd15431_c0 + 0.378848432974388 cpd00205_c0 + 0.0252567566605397 cpd00013_c0 + 0.0168378377736931 cpd00254_c0 + 0.0101026015436527 cpd00063_c0 + 0.0151540269040667 cpd10515_c0 + 0.0151540269040667 cpd10516_c0 + 0.00673513510947725 cpd00058_c0 + 0.00673513510947725 cpd00030_c0 + 0.00673515796639989 cpd00149_c0 + 0.0067351456448135 cpd00034_c0 + 0.0101026737737624 cpd00099_c0 + 0.00841891888684657 cpd00048_c0 + 0.00841891888684657 cpd00009_c0 + 0.0776518669195976 cpd00118_c0 + 0.015740833052637 cpd00264_c0 + 0.000651562794846372 cpd00022_c0 + 0.000390937676907823 cpd00010_c0 + 0.000229350103785923 cpd00078_c0 + 7.29750330227936E-05 cpd00070_c0 + 0.00417000188701678 cpd00003_c0 + 0.000104250047175419 cpd00004_c0 + 0.000260625117938549 cpd00006_c0 + 0.000781875353815646 cpd00005_c0 + 0.000521250235877097 cpd00015_c0 + 0.000521250235877097 cpd00087_c0 + 0.000521250235877097 cpd00125_c0 + 0.000521250235877097 cpd00345_c0 + 0.000521250235877097 cpd00056_c0 + 0.000521250235877097 cpd15353_c0 + 0.000521250235877097 cpd15499_c0 + 0.000521250235877097 cpd00016_c0 + 0.000521250160402169 cpd00028_c0 + 0.000521250178514716 cpd00557_c0 + 0.000521250235877097 cpd03453_c0 + 0.000521250235877097 cpd00042_c0 + 0.000129190539136871 cpd02229_c0 + 0.000521250235877097 cpd00201_c0 + 0.000521250235877097 cpd00216_c0 + 0.000521250235877097 cpd00017_c0 + 0.000521250235877097 cpd00220_c0 + 26.48 cpd00002_c0 + 26.48 cpd00001_c0 --&gt; 26.48 cpd00008_c0 +26.48 cpd00009_c0 + 26.48 cpd00067_c0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</si>
</sst>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0.5"/>
      <color theme="1"/>
      <name val="Helvetica"/>
      <charset val="134"/>
    </font>
    <font>
      <sz val="12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20" zoomScaleNormal="120" workbookViewId="0">
      <selection activeCell="D27" sqref="D27"/>
    </sheetView>
  </sheetViews>
  <sheetFormatPr defaultColWidth="9" defaultRowHeight="14.25"/>
  <cols>
    <col min="1" max="1" width="32.1333333333333" customWidth="1"/>
    <col min="2" max="2" width="19.8666666666667" customWidth="1"/>
    <col min="10" max="10" width="11.5"/>
    <col min="13" max="15" width="12.625"/>
  </cols>
  <sheetData>
    <row r="1" ht="15.75" spans="1:2">
      <c r="A1" s="21" t="s">
        <v>0</v>
      </c>
      <c r="B1" s="22"/>
    </row>
    <row r="2" ht="15.75" spans="1:2">
      <c r="A2" s="22" t="s">
        <v>1</v>
      </c>
      <c r="B2" s="22" t="s">
        <v>2</v>
      </c>
    </row>
    <row r="3" ht="15" spans="1:2">
      <c r="A3" s="2" t="s">
        <v>3</v>
      </c>
      <c r="B3" s="23">
        <v>0.45</v>
      </c>
    </row>
    <row r="4" ht="15" spans="1:2">
      <c r="A4" s="11" t="s">
        <v>4</v>
      </c>
      <c r="B4" s="23">
        <v>0.0291</v>
      </c>
    </row>
    <row r="5" ht="15" spans="1:2">
      <c r="A5" s="11" t="s">
        <v>5</v>
      </c>
      <c r="B5" s="23">
        <v>0.133</v>
      </c>
    </row>
    <row r="6" ht="15" spans="1:2">
      <c r="A6" s="11" t="s">
        <v>6</v>
      </c>
      <c r="B6" s="23">
        <v>0.006</v>
      </c>
    </row>
    <row r="7" ht="15" spans="1:2">
      <c r="A7" s="2" t="s">
        <v>7</v>
      </c>
      <c r="B7" s="23">
        <v>0.055978898007034</v>
      </c>
    </row>
    <row r="8" ht="15" spans="1:2">
      <c r="A8" s="2" t="s">
        <v>8</v>
      </c>
      <c r="B8" s="23">
        <v>0.0761313012895662</v>
      </c>
    </row>
    <row r="9" ht="15" spans="1:2">
      <c r="A9" s="16" t="s">
        <v>9</v>
      </c>
      <c r="B9" s="23">
        <v>0.208241500586166</v>
      </c>
    </row>
    <row r="10" ht="15" spans="1:2">
      <c r="A10" s="16" t="s">
        <v>10</v>
      </c>
      <c r="B10" s="23">
        <v>0.0223915592028136</v>
      </c>
    </row>
    <row r="11" ht="15" spans="1:2">
      <c r="A11" s="16" t="s">
        <v>11</v>
      </c>
      <c r="B11" s="23">
        <v>0.0192567409144197</v>
      </c>
    </row>
    <row r="12" ht="15" spans="1:2">
      <c r="A12" s="16" t="s">
        <v>12</v>
      </c>
      <c r="B12" s="23">
        <f>SUM(B3:B11)</f>
        <v>1.0001</v>
      </c>
    </row>
    <row r="23" ht="15" spans="13:13">
      <c r="M23" s="24"/>
    </row>
    <row r="24" ht="15" spans="13:13">
      <c r="M24" s="24"/>
    </row>
    <row r="25" ht="15" spans="13:13">
      <c r="M25" s="24"/>
    </row>
    <row r="26" ht="15" spans="13:13">
      <c r="M26" s="2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3"/>
  <sheetViews>
    <sheetView tabSelected="1" zoomScale="115" zoomScaleNormal="115" topLeftCell="A83" workbookViewId="0">
      <selection activeCell="G97" sqref="G97"/>
    </sheetView>
  </sheetViews>
  <sheetFormatPr defaultColWidth="9" defaultRowHeight="15"/>
  <cols>
    <col min="1" max="1" width="17.4" style="3" customWidth="1"/>
    <col min="2" max="2" width="21.4666666666667" style="3" customWidth="1"/>
    <col min="3" max="3" width="14.7333333333333" style="3" customWidth="1"/>
    <col min="4" max="4" width="17.4666666666667" style="3" customWidth="1"/>
    <col min="5" max="5" width="17.4" style="3" customWidth="1"/>
    <col min="6" max="6" width="19.2666666666667" style="3" customWidth="1"/>
    <col min="7" max="7" width="9" style="4"/>
    <col min="8" max="8" width="26.25" style="5" customWidth="1"/>
    <col min="9" max="9" width="26.25" style="3" customWidth="1"/>
    <col min="10" max="10" width="11.125" style="3"/>
    <col min="11" max="11" width="65.1083333333333" style="3" customWidth="1"/>
    <col min="12" max="15" width="11.125" style="3"/>
    <col min="16" max="16384" width="9" style="3"/>
  </cols>
  <sheetData>
    <row r="1" ht="22.5" customHeight="1" spans="1:10">
      <c r="A1" s="6" t="s">
        <v>13</v>
      </c>
      <c r="B1" s="6"/>
      <c r="C1" s="6"/>
      <c r="D1" s="6"/>
      <c r="E1" s="6"/>
      <c r="F1" s="6"/>
      <c r="G1" s="7"/>
      <c r="H1" s="8"/>
      <c r="I1" s="2"/>
      <c r="J1" s="2"/>
    </row>
    <row r="2" s="1" customFormat="1" ht="38.25" customHeight="1" spans="1:8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10"/>
      <c r="H2" s="10"/>
    </row>
    <row r="3" customHeight="1" spans="1:11">
      <c r="A3" s="11" t="s">
        <v>20</v>
      </c>
      <c r="B3" s="11" t="s">
        <v>21</v>
      </c>
      <c r="C3" s="11" t="s">
        <v>22</v>
      </c>
      <c r="D3" s="11">
        <v>186.214</v>
      </c>
      <c r="E3" s="11">
        <v>1.01940228205128</v>
      </c>
      <c r="F3" s="11">
        <v>0.00547435897435896</v>
      </c>
      <c r="G3" s="11"/>
      <c r="H3" s="8"/>
      <c r="I3" s="2"/>
      <c r="J3" s="2"/>
      <c r="K3" s="2"/>
    </row>
    <row r="4" customHeight="1" spans="1:11">
      <c r="A4" s="11"/>
      <c r="B4" s="11" t="s">
        <v>23</v>
      </c>
      <c r="C4" s="11" t="s">
        <v>24</v>
      </c>
      <c r="D4" s="11">
        <v>113.16</v>
      </c>
      <c r="E4" s="11">
        <v>7.60903060256411</v>
      </c>
      <c r="F4" s="11">
        <v>0.0672413450208917</v>
      </c>
      <c r="G4" s="12"/>
      <c r="H4" s="8"/>
      <c r="I4" s="2"/>
      <c r="J4" s="2"/>
      <c r="K4" s="2"/>
    </row>
    <row r="5" customHeight="1" spans="1:11">
      <c r="A5" s="11"/>
      <c r="B5" s="11" t="s">
        <v>25</v>
      </c>
      <c r="C5" s="11" t="s">
        <v>26</v>
      </c>
      <c r="D5" s="11">
        <v>129.159</v>
      </c>
      <c r="E5" s="11">
        <v>17.8318902461538</v>
      </c>
      <c r="F5" s="11">
        <v>0.138061538461538</v>
      </c>
      <c r="G5" s="12"/>
      <c r="H5" s="8"/>
      <c r="I5" s="2"/>
      <c r="J5" s="2"/>
      <c r="K5" s="2"/>
    </row>
    <row r="6" customHeight="1" spans="1:11">
      <c r="A6" s="13"/>
      <c r="B6" s="11" t="s">
        <v>27</v>
      </c>
      <c r="C6" s="11" t="s">
        <v>28</v>
      </c>
      <c r="D6" s="11">
        <v>115.088</v>
      </c>
      <c r="E6" s="11">
        <v>45.4485462974359</v>
      </c>
      <c r="F6" s="11">
        <v>0.394902564102564</v>
      </c>
      <c r="G6" s="12"/>
      <c r="H6" s="8"/>
      <c r="I6" s="2"/>
      <c r="K6" s="2"/>
    </row>
    <row r="7" customHeight="1" spans="1:11">
      <c r="A7" s="13"/>
      <c r="B7" s="11" t="s">
        <v>29</v>
      </c>
      <c r="C7" s="11" t="s">
        <v>30</v>
      </c>
      <c r="D7" s="11">
        <v>114.104</v>
      </c>
      <c r="E7" s="11">
        <v>7.60903060256411</v>
      </c>
      <c r="F7" s="11">
        <v>0.0666850469971614</v>
      </c>
      <c r="G7" s="12"/>
      <c r="H7" s="8"/>
      <c r="I7" s="2"/>
      <c r="K7" s="2"/>
    </row>
    <row r="8" customHeight="1" spans="1:11">
      <c r="A8" s="13"/>
      <c r="B8" s="11" t="s">
        <v>31</v>
      </c>
      <c r="C8" s="11" t="s">
        <v>32</v>
      </c>
      <c r="D8" s="11">
        <v>137.142</v>
      </c>
      <c r="E8" s="11">
        <v>6.50264067692308</v>
      </c>
      <c r="F8" s="11">
        <v>0.0474153846153846</v>
      </c>
      <c r="G8" s="12"/>
      <c r="H8" s="8"/>
      <c r="I8" s="2"/>
      <c r="K8" s="2"/>
    </row>
    <row r="9" customHeight="1" spans="1:11">
      <c r="A9" s="13"/>
      <c r="B9" s="11" t="s">
        <v>33</v>
      </c>
      <c r="C9" s="11" t="s">
        <v>34</v>
      </c>
      <c r="D9" s="11">
        <v>99.133</v>
      </c>
      <c r="E9" s="11">
        <v>18.1670119051282</v>
      </c>
      <c r="F9" s="11">
        <v>0.183258974358974</v>
      </c>
      <c r="G9" s="12"/>
      <c r="H9" s="8"/>
      <c r="I9" s="2"/>
      <c r="K9" s="2"/>
    </row>
    <row r="10" customHeight="1" spans="1:11">
      <c r="A10" s="13"/>
      <c r="B10" s="11" t="s">
        <v>35</v>
      </c>
      <c r="C10" s="11" t="s">
        <v>36</v>
      </c>
      <c r="D10" s="11">
        <v>131.199</v>
      </c>
      <c r="E10" s="11">
        <v>9.79417355384615</v>
      </c>
      <c r="F10" s="11">
        <v>0.074651282051282</v>
      </c>
      <c r="G10" s="12"/>
      <c r="H10" s="8"/>
      <c r="I10" s="2"/>
      <c r="K10" s="2"/>
    </row>
    <row r="11" customHeight="1" spans="1:11">
      <c r="A11" s="13"/>
      <c r="B11" s="11" t="s">
        <v>37</v>
      </c>
      <c r="C11" s="11" t="s">
        <v>38</v>
      </c>
      <c r="D11" s="11">
        <v>147.177</v>
      </c>
      <c r="E11" s="11">
        <v>20.3062748538462</v>
      </c>
      <c r="F11" s="11">
        <v>0.137971794871795</v>
      </c>
      <c r="G11" s="12"/>
      <c r="H11" s="8"/>
      <c r="I11" s="2"/>
      <c r="K11" s="2"/>
    </row>
    <row r="12" customHeight="1" spans="1:11">
      <c r="A12" s="13"/>
      <c r="B12" s="11" t="s">
        <v>39</v>
      </c>
      <c r="C12" s="11" t="s">
        <v>40</v>
      </c>
      <c r="D12" s="11">
        <v>157.197</v>
      </c>
      <c r="E12" s="11">
        <v>29.3785070230769</v>
      </c>
      <c r="F12" s="11">
        <v>0.186889743589743</v>
      </c>
      <c r="G12" s="12"/>
      <c r="H12" s="8"/>
      <c r="I12" s="2"/>
      <c r="K12" s="2"/>
    </row>
    <row r="13" customHeight="1" spans="1:11">
      <c r="A13" s="13"/>
      <c r="B13" s="11" t="s">
        <v>41</v>
      </c>
      <c r="C13" s="11" t="s">
        <v>42</v>
      </c>
      <c r="D13" s="11">
        <v>128.107</v>
      </c>
      <c r="E13" s="11">
        <v>99.3716144615385</v>
      </c>
      <c r="F13" s="11">
        <v>0.775692307692308</v>
      </c>
      <c r="G13" s="12"/>
      <c r="H13" s="8"/>
      <c r="I13" s="2"/>
      <c r="K13" s="2"/>
    </row>
    <row r="14" customHeight="1" spans="1:11">
      <c r="A14" s="13"/>
      <c r="B14" s="11" t="s">
        <v>43</v>
      </c>
      <c r="C14" s="11" t="s">
        <v>44</v>
      </c>
      <c r="D14" s="11">
        <v>128.131</v>
      </c>
      <c r="E14" s="11">
        <v>7.60903060256411</v>
      </c>
      <c r="F14" s="11">
        <v>0.0593847749768917</v>
      </c>
      <c r="G14" s="12"/>
      <c r="H14" s="8"/>
      <c r="I14" s="2"/>
      <c r="K14" s="2"/>
    </row>
    <row r="15" customHeight="1" spans="1:11">
      <c r="A15" s="13"/>
      <c r="B15" s="11" t="s">
        <v>45</v>
      </c>
      <c r="C15" s="11" t="s">
        <v>46</v>
      </c>
      <c r="D15" s="11">
        <v>71.079</v>
      </c>
      <c r="E15" s="11">
        <v>31.3420116692308</v>
      </c>
      <c r="F15" s="11">
        <v>0.440946153846154</v>
      </c>
      <c r="G15" s="12"/>
      <c r="H15" s="8"/>
      <c r="I15" s="2"/>
      <c r="K15" s="2"/>
    </row>
    <row r="16" customHeight="1" spans="1:11">
      <c r="A16" s="13"/>
      <c r="B16" s="11" t="s">
        <v>47</v>
      </c>
      <c r="C16" s="11" t="s">
        <v>48</v>
      </c>
      <c r="D16" s="11">
        <v>57.052</v>
      </c>
      <c r="E16" s="11">
        <v>49.1897955384615</v>
      </c>
      <c r="F16" s="11">
        <v>0.862192307692307</v>
      </c>
      <c r="G16" s="12"/>
      <c r="H16" s="8"/>
      <c r="I16" s="2"/>
      <c r="K16" s="2"/>
    </row>
    <row r="17" customHeight="1" spans="1:11">
      <c r="A17" s="13"/>
      <c r="B17" s="11" t="s">
        <v>49</v>
      </c>
      <c r="C17" s="11" t="s">
        <v>50</v>
      </c>
      <c r="D17" s="11">
        <v>128.175</v>
      </c>
      <c r="E17" s="11">
        <v>29.0030446153846</v>
      </c>
      <c r="F17" s="11">
        <v>0.226276923076923</v>
      </c>
      <c r="G17" s="12"/>
      <c r="H17" s="8"/>
      <c r="I17" s="2"/>
      <c r="K17" s="2"/>
    </row>
    <row r="18" customHeight="1" spans="1:11">
      <c r="A18" s="13"/>
      <c r="B18" s="11" t="s">
        <v>51</v>
      </c>
      <c r="C18" s="11" t="s">
        <v>52</v>
      </c>
      <c r="D18" s="11">
        <v>101.105</v>
      </c>
      <c r="E18" s="11">
        <v>10.9286727692308</v>
      </c>
      <c r="F18" s="11">
        <v>0.108092307692308</v>
      </c>
      <c r="G18" s="12"/>
      <c r="H18" s="8"/>
      <c r="I18" s="2"/>
      <c r="K18" s="2"/>
    </row>
    <row r="19" customHeight="1" spans="1:11">
      <c r="A19" s="13"/>
      <c r="B19" s="11" t="s">
        <v>53</v>
      </c>
      <c r="C19" s="11" t="s">
        <v>54</v>
      </c>
      <c r="D19" s="11">
        <v>97.117</v>
      </c>
      <c r="E19" s="11">
        <v>26.0662028</v>
      </c>
      <c r="F19" s="11">
        <v>0.2684</v>
      </c>
      <c r="G19" s="12"/>
      <c r="H19" s="8"/>
      <c r="I19" s="2"/>
      <c r="K19" s="2"/>
    </row>
    <row r="20" customHeight="1" spans="1:11">
      <c r="A20" s="13"/>
      <c r="B20" s="11" t="s">
        <v>55</v>
      </c>
      <c r="C20" s="11" t="s">
        <v>56</v>
      </c>
      <c r="D20" s="11">
        <v>163.176</v>
      </c>
      <c r="E20" s="11">
        <v>14.45572</v>
      </c>
      <c r="F20" s="11">
        <v>0.0885897435897436</v>
      </c>
      <c r="G20" s="12"/>
      <c r="H20" s="8"/>
      <c r="I20" s="2"/>
      <c r="K20" s="2"/>
    </row>
    <row r="21" customHeight="1" spans="1:11">
      <c r="A21" s="13"/>
      <c r="B21" s="11" t="s">
        <v>57</v>
      </c>
      <c r="C21" s="11" t="s">
        <v>58</v>
      </c>
      <c r="D21" s="11">
        <v>87.078</v>
      </c>
      <c r="E21" s="11">
        <v>16.4354143076923</v>
      </c>
      <c r="F21" s="11">
        <v>0.18874358974359</v>
      </c>
      <c r="G21" s="12"/>
      <c r="H21" s="8"/>
      <c r="I21" s="2"/>
      <c r="K21" s="2"/>
    </row>
    <row r="22" customHeight="1" spans="1:11">
      <c r="A22" s="13"/>
      <c r="B22" s="11" t="s">
        <v>59</v>
      </c>
      <c r="C22" s="11" t="s">
        <v>60</v>
      </c>
      <c r="D22" s="11">
        <v>103.145</v>
      </c>
      <c r="E22" s="11">
        <v>1.93198519230769</v>
      </c>
      <c r="F22" s="11">
        <v>0.0187307692307692</v>
      </c>
      <c r="G22" s="12"/>
      <c r="H22" s="8"/>
      <c r="I22" s="2"/>
      <c r="K22" s="2"/>
    </row>
    <row r="23" spans="1:9">
      <c r="A23" s="13"/>
      <c r="B23" s="13"/>
      <c r="C23" s="13"/>
      <c r="D23" s="13"/>
      <c r="E23" s="13"/>
      <c r="F23" s="13"/>
      <c r="H23" s="8"/>
      <c r="I23" s="2"/>
    </row>
    <row r="24" ht="22.5" customHeight="1" spans="1:9">
      <c r="A24" s="14" t="s">
        <v>61</v>
      </c>
      <c r="B24" s="14"/>
      <c r="C24" s="14"/>
      <c r="D24" s="14"/>
      <c r="E24" s="14"/>
      <c r="F24" s="14"/>
      <c r="H24" s="8"/>
      <c r="I24" s="2"/>
    </row>
    <row r="25" s="1" customFormat="1" ht="38.25" customHeight="1" spans="1:9">
      <c r="A25" s="9" t="s">
        <v>14</v>
      </c>
      <c r="B25" s="9" t="s">
        <v>15</v>
      </c>
      <c r="C25" s="9" t="s">
        <v>16</v>
      </c>
      <c r="D25" s="9" t="s">
        <v>17</v>
      </c>
      <c r="E25" s="9" t="s">
        <v>18</v>
      </c>
      <c r="F25" s="9" t="s">
        <v>19</v>
      </c>
      <c r="G25" s="15"/>
      <c r="H25" s="8"/>
      <c r="I25" s="2"/>
    </row>
    <row r="26" s="2" customFormat="1" customHeight="1" spans="1:8">
      <c r="A26" s="11" t="s">
        <v>4</v>
      </c>
      <c r="B26" s="11" t="s">
        <v>62</v>
      </c>
      <c r="C26" s="11" t="s">
        <v>63</v>
      </c>
      <c r="D26" s="11">
        <v>331.2</v>
      </c>
      <c r="E26" s="11">
        <v>6.46710179721801</v>
      </c>
      <c r="F26" s="11">
        <v>0.0195262735423249</v>
      </c>
      <c r="G26" s="11"/>
      <c r="H26" s="8"/>
    </row>
    <row r="27" s="2" customFormat="1" customHeight="1" spans="1:8">
      <c r="A27" s="11"/>
      <c r="B27" s="11" t="s">
        <v>64</v>
      </c>
      <c r="C27" s="11" t="s">
        <v>65</v>
      </c>
      <c r="D27" s="11">
        <v>304.2</v>
      </c>
      <c r="E27" s="11">
        <v>6.46710179721801</v>
      </c>
      <c r="F27" s="11">
        <v>0.0212593747443064</v>
      </c>
      <c r="G27" s="12"/>
      <c r="H27" s="8"/>
    </row>
    <row r="28" s="2" customFormat="1" customHeight="1" spans="1:8">
      <c r="A28" s="11"/>
      <c r="B28" s="11" t="s">
        <v>66</v>
      </c>
      <c r="C28" s="11" t="s">
        <v>67</v>
      </c>
      <c r="D28" s="11">
        <v>329.2</v>
      </c>
      <c r="E28" s="11">
        <v>8.08289820278199</v>
      </c>
      <c r="F28" s="11">
        <v>0.0245531537144046</v>
      </c>
      <c r="G28" s="12"/>
      <c r="H28" s="8"/>
    </row>
    <row r="29" s="2" customFormat="1" customHeight="1" spans="1:8">
      <c r="A29" s="11"/>
      <c r="B29" s="11" t="s">
        <v>68</v>
      </c>
      <c r="C29" s="11" t="s">
        <v>69</v>
      </c>
      <c r="D29" s="11">
        <v>289.2</v>
      </c>
      <c r="E29" s="11">
        <v>8.08289820278199</v>
      </c>
      <c r="F29" s="11">
        <v>0.0279491639100345</v>
      </c>
      <c r="G29" s="12"/>
      <c r="H29" s="8"/>
    </row>
    <row r="30" spans="1:9">
      <c r="A30" s="13"/>
      <c r="B30" s="13"/>
      <c r="C30" s="13"/>
      <c r="D30" s="13"/>
      <c r="E30" s="13"/>
      <c r="F30" s="13"/>
      <c r="G30" s="12"/>
      <c r="H30" s="8"/>
      <c r="I30" s="2"/>
    </row>
    <row r="31" ht="22.5" customHeight="1" spans="1:9">
      <c r="A31" s="14" t="s">
        <v>70</v>
      </c>
      <c r="B31" s="14"/>
      <c r="C31" s="14"/>
      <c r="D31" s="14"/>
      <c r="E31" s="14"/>
      <c r="F31" s="14"/>
      <c r="G31" s="12"/>
      <c r="H31" s="8"/>
      <c r="I31" s="2"/>
    </row>
    <row r="32" ht="31.5" spans="1:9">
      <c r="A32" s="9" t="s">
        <v>14</v>
      </c>
      <c r="B32" s="9" t="s">
        <v>15</v>
      </c>
      <c r="C32" s="9" t="s">
        <v>16</v>
      </c>
      <c r="D32" s="9" t="s">
        <v>17</v>
      </c>
      <c r="E32" s="9" t="s">
        <v>18</v>
      </c>
      <c r="F32" s="9" t="s">
        <v>19</v>
      </c>
      <c r="G32" s="12"/>
      <c r="H32" s="8"/>
      <c r="I32" s="2"/>
    </row>
    <row r="33" customHeight="1" spans="1:9">
      <c r="A33" s="11" t="s">
        <v>5</v>
      </c>
      <c r="B33" s="11" t="s">
        <v>71</v>
      </c>
      <c r="C33" s="11" t="s">
        <v>72</v>
      </c>
      <c r="D33" s="11">
        <v>329.21</v>
      </c>
      <c r="E33" s="11">
        <v>29.522563543818</v>
      </c>
      <c r="F33" s="11">
        <v>0.0896769950603506</v>
      </c>
      <c r="G33" s="12"/>
      <c r="H33" s="8"/>
      <c r="I33" s="2"/>
    </row>
    <row r="34" customHeight="1" spans="1:9">
      <c r="A34" s="11"/>
      <c r="B34" s="11" t="s">
        <v>73</v>
      </c>
      <c r="C34" s="11" t="s">
        <v>74</v>
      </c>
      <c r="D34" s="11">
        <v>306.17</v>
      </c>
      <c r="E34" s="11">
        <v>29.5925250493087</v>
      </c>
      <c r="F34" s="11">
        <v>0.0966539015883617</v>
      </c>
      <c r="G34" s="12"/>
      <c r="H34" s="8"/>
      <c r="I34" s="2"/>
    </row>
    <row r="35" customHeight="1" spans="1:9">
      <c r="A35" s="11"/>
      <c r="B35" s="11" t="s">
        <v>75</v>
      </c>
      <c r="C35" s="11" t="s">
        <v>76</v>
      </c>
      <c r="D35" s="11">
        <v>345.21</v>
      </c>
      <c r="E35" s="11">
        <v>36.7824049659543</v>
      </c>
      <c r="F35" s="11">
        <v>0.106550809553473</v>
      </c>
      <c r="G35" s="12"/>
      <c r="H35" s="8"/>
      <c r="I35" s="2"/>
    </row>
    <row r="36" customHeight="1" spans="1:9">
      <c r="A36" s="11"/>
      <c r="B36" s="11" t="s">
        <v>77</v>
      </c>
      <c r="C36" s="11" t="s">
        <v>78</v>
      </c>
      <c r="D36" s="11">
        <v>305.18</v>
      </c>
      <c r="E36" s="11">
        <v>37.102506440919</v>
      </c>
      <c r="F36" s="11">
        <v>0.121575812441572</v>
      </c>
      <c r="G36" s="12"/>
      <c r="H36" s="8"/>
      <c r="I36" s="2"/>
    </row>
    <row r="37" customHeight="1" spans="1:9">
      <c r="A37" s="13"/>
      <c r="B37" s="13"/>
      <c r="C37" s="13"/>
      <c r="D37" s="13"/>
      <c r="E37" s="13"/>
      <c r="F37" s="13"/>
      <c r="G37" s="12"/>
      <c r="H37" s="8"/>
      <c r="I37" s="2"/>
    </row>
    <row r="38" ht="22.5" customHeight="1" spans="1:9">
      <c r="A38" s="14" t="s">
        <v>79</v>
      </c>
      <c r="B38" s="14"/>
      <c r="C38" s="14"/>
      <c r="D38" s="14"/>
      <c r="E38" s="14"/>
      <c r="F38" s="14"/>
      <c r="G38" s="12"/>
      <c r="H38" s="8"/>
      <c r="I38" s="2"/>
    </row>
    <row r="39" ht="31.5" spans="1:9">
      <c r="A39" s="9" t="s">
        <v>14</v>
      </c>
      <c r="B39" s="9" t="s">
        <v>15</v>
      </c>
      <c r="C39" s="9" t="s">
        <v>16</v>
      </c>
      <c r="D39" s="9" t="s">
        <v>17</v>
      </c>
      <c r="E39" s="9" t="s">
        <v>18</v>
      </c>
      <c r="F39" s="9" t="s">
        <v>19</v>
      </c>
      <c r="G39" s="12"/>
      <c r="H39" s="8"/>
      <c r="I39" s="2"/>
    </row>
    <row r="40" ht="17.45" customHeight="1" spans="1:9">
      <c r="A40" s="11" t="s">
        <v>6</v>
      </c>
      <c r="B40" s="11" t="s">
        <v>6</v>
      </c>
      <c r="C40" s="11" t="s">
        <v>80</v>
      </c>
      <c r="D40" s="11">
        <v>666.579</v>
      </c>
      <c r="E40" s="11">
        <v>6.349914</v>
      </c>
      <c r="F40" s="11">
        <v>0.009526</v>
      </c>
      <c r="G40" s="12"/>
      <c r="H40" s="8"/>
      <c r="I40" s="2"/>
    </row>
    <row r="41" spans="7:9">
      <c r="G41" s="12"/>
      <c r="H41" s="8"/>
      <c r="I41" s="2"/>
    </row>
    <row r="42" ht="15.75" spans="1:9">
      <c r="A42" s="6" t="s">
        <v>81</v>
      </c>
      <c r="B42" s="6"/>
      <c r="C42" s="6"/>
      <c r="D42" s="6"/>
      <c r="E42" s="6"/>
      <c r="F42" s="6"/>
      <c r="G42" s="12"/>
      <c r="H42" s="8"/>
      <c r="I42" s="2"/>
    </row>
    <row r="43" ht="31.5" spans="1:9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2"/>
      <c r="H43" s="8"/>
      <c r="I43" s="2"/>
    </row>
    <row r="44" ht="60" spans="1:9">
      <c r="A44" s="11" t="s">
        <v>7</v>
      </c>
      <c r="B44" s="16" t="s">
        <v>82</v>
      </c>
      <c r="C44" s="11" t="s">
        <v>83</v>
      </c>
      <c r="D44" s="11">
        <v>1839.784</v>
      </c>
      <c r="E44" s="11">
        <v>22.1665901490516</v>
      </c>
      <c r="F44" s="11">
        <f>E44/D44</f>
        <v>0.0120484742497225</v>
      </c>
      <c r="G44" s="12"/>
      <c r="H44" s="8"/>
      <c r="I44" s="2"/>
    </row>
    <row r="45" ht="60" spans="1:9">
      <c r="A45" s="17"/>
      <c r="B45" s="16" t="s">
        <v>84</v>
      </c>
      <c r="C45" s="11" t="s">
        <v>85</v>
      </c>
      <c r="D45" s="11">
        <v>1697.626</v>
      </c>
      <c r="E45" s="11">
        <v>5.11345078666487</v>
      </c>
      <c r="F45" s="11">
        <f>E45/D45</f>
        <v>0.00301211856243064</v>
      </c>
      <c r="G45" s="12"/>
      <c r="H45" s="8"/>
      <c r="I45" s="2"/>
    </row>
    <row r="46" ht="75" spans="1:9">
      <c r="A46" s="17"/>
      <c r="B46" s="16" t="s">
        <v>86</v>
      </c>
      <c r="C46" s="11" t="s">
        <v>87</v>
      </c>
      <c r="D46" s="11">
        <v>1821.769</v>
      </c>
      <c r="E46" s="11">
        <v>22.2239060965108</v>
      </c>
      <c r="F46" s="11">
        <f>E46/D46</f>
        <v>0.0121990801778441</v>
      </c>
      <c r="G46" s="11"/>
      <c r="H46" s="8"/>
      <c r="I46" s="2"/>
    </row>
    <row r="47" ht="75" spans="1:9">
      <c r="A47" s="17"/>
      <c r="B47" s="16" t="s">
        <v>88</v>
      </c>
      <c r="C47" s="11" t="s">
        <v>89</v>
      </c>
      <c r="D47" s="11">
        <v>1750.69</v>
      </c>
      <c r="E47" s="11">
        <v>2.37297863072776</v>
      </c>
      <c r="F47" s="11">
        <f>E47/D47</f>
        <v>0.00135545335309379</v>
      </c>
      <c r="G47" s="12"/>
      <c r="H47" s="8"/>
      <c r="I47" s="2"/>
    </row>
    <row r="48" ht="105" spans="1:9">
      <c r="A48" s="17"/>
      <c r="B48" s="16" t="s">
        <v>90</v>
      </c>
      <c r="C48" s="11" t="s">
        <v>91</v>
      </c>
      <c r="D48" s="11">
        <v>2723.646</v>
      </c>
      <c r="E48" s="11">
        <v>4.10197233704498</v>
      </c>
      <c r="F48" s="11">
        <f>E48/D48</f>
        <v>0.00150605928121532</v>
      </c>
      <c r="G48" s="12"/>
      <c r="H48" s="8"/>
      <c r="I48" s="2"/>
    </row>
    <row r="49" ht="15.75" spans="1:9">
      <c r="A49" s="6"/>
      <c r="B49" s="2"/>
      <c r="C49" s="6"/>
      <c r="D49" s="6"/>
      <c r="F49" s="6"/>
      <c r="G49" s="12"/>
      <c r="H49" s="8"/>
      <c r="I49" s="2"/>
    </row>
    <row r="50" ht="15.75" spans="1:9">
      <c r="A50" s="6"/>
      <c r="B50" s="2"/>
      <c r="C50" s="6"/>
      <c r="D50" s="6"/>
      <c r="F50" s="6"/>
      <c r="G50" s="12"/>
      <c r="H50" s="8"/>
      <c r="I50" s="2"/>
    </row>
    <row r="51" ht="15.75" spans="1:9">
      <c r="A51" s="6"/>
      <c r="B51" s="6"/>
      <c r="C51" s="6"/>
      <c r="D51" s="6"/>
      <c r="E51" s="6"/>
      <c r="F51" s="6"/>
      <c r="G51" s="12"/>
      <c r="H51" s="8"/>
      <c r="I51" s="2"/>
    </row>
    <row r="52" ht="15.75" spans="1:9">
      <c r="A52" s="6" t="s">
        <v>92</v>
      </c>
      <c r="B52" s="6"/>
      <c r="C52" s="6"/>
      <c r="D52" s="6"/>
      <c r="E52" s="6"/>
      <c r="F52" s="6"/>
      <c r="G52" s="12"/>
      <c r="H52" s="8"/>
      <c r="I52" s="2"/>
    </row>
    <row r="53" ht="31.5" spans="1:9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12"/>
      <c r="H53" s="8"/>
      <c r="I53" s="2"/>
    </row>
    <row r="54" spans="1:9">
      <c r="A54" s="2" t="s">
        <v>8</v>
      </c>
      <c r="B54" s="16" t="s">
        <v>93</v>
      </c>
      <c r="C54" s="2" t="s">
        <v>94</v>
      </c>
      <c r="D54" s="2">
        <v>4171.17</v>
      </c>
      <c r="E54" s="2">
        <v>76.13</v>
      </c>
      <c r="F54" s="2">
        <f>E54/D54</f>
        <v>0.0182514738071093</v>
      </c>
      <c r="G54" s="12"/>
      <c r="H54" s="8"/>
      <c r="I54" s="2"/>
    </row>
    <row r="55" spans="7:9">
      <c r="G55" s="12"/>
      <c r="H55" s="8"/>
      <c r="I55" s="2"/>
    </row>
    <row r="56" ht="15.75" spans="1:9">
      <c r="A56" s="6" t="s">
        <v>95</v>
      </c>
      <c r="B56" s="6"/>
      <c r="C56" s="6"/>
      <c r="D56" s="6"/>
      <c r="E56" s="6"/>
      <c r="F56" s="6"/>
      <c r="G56" s="12"/>
      <c r="H56" s="8"/>
      <c r="I56" s="2"/>
    </row>
    <row r="57" ht="31.5" spans="1:9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2"/>
      <c r="H57" s="8"/>
      <c r="I57" s="2"/>
    </row>
    <row r="58" ht="30" spans="1:9">
      <c r="A58" s="16" t="s">
        <v>9</v>
      </c>
      <c r="B58" s="16" t="s">
        <v>96</v>
      </c>
      <c r="C58" s="16" t="s">
        <v>97</v>
      </c>
      <c r="D58" s="16">
        <v>691.972</v>
      </c>
      <c r="E58" s="16">
        <v>105.410446020647</v>
      </c>
      <c r="F58" s="16">
        <f t="shared" ref="F58:F63" si="0">E58/D58</f>
        <v>0.15233339791299</v>
      </c>
      <c r="G58" s="12"/>
      <c r="H58" s="8"/>
      <c r="I58" s="2"/>
    </row>
    <row r="59" ht="30" spans="1:9">
      <c r="A59" s="18"/>
      <c r="B59" s="16" t="s">
        <v>98</v>
      </c>
      <c r="C59" s="16" t="s">
        <v>99</v>
      </c>
      <c r="D59" s="16">
        <v>744.048</v>
      </c>
      <c r="E59" s="16">
        <v>45.4361181901242</v>
      </c>
      <c r="F59" s="16">
        <f t="shared" si="0"/>
        <v>0.0610661115816777</v>
      </c>
      <c r="G59" s="12"/>
      <c r="H59" s="8"/>
      <c r="I59" s="2"/>
    </row>
    <row r="60" ht="30" spans="1:9">
      <c r="A60" s="18"/>
      <c r="B60" s="16" t="s">
        <v>100</v>
      </c>
      <c r="C60" s="16" t="s">
        <v>101</v>
      </c>
      <c r="D60" s="16">
        <v>721.974</v>
      </c>
      <c r="E60" s="16">
        <v>26.3947483171565</v>
      </c>
      <c r="F60" s="16">
        <f t="shared" si="0"/>
        <v>0.0365591396880726</v>
      </c>
      <c r="G60" s="12"/>
      <c r="H60" s="8"/>
      <c r="I60" s="2"/>
    </row>
    <row r="61" ht="30" spans="1:9">
      <c r="A61" s="18"/>
      <c r="B61" s="16" t="s">
        <v>102</v>
      </c>
      <c r="C61" s="16" t="s">
        <v>103</v>
      </c>
      <c r="D61" s="16">
        <v>774.05</v>
      </c>
      <c r="E61" s="16">
        <v>11.3441019213544</v>
      </c>
      <c r="F61" s="16">
        <f t="shared" si="0"/>
        <v>0.0146555156919507</v>
      </c>
      <c r="G61" s="12"/>
      <c r="H61" s="8"/>
      <c r="I61" s="2"/>
    </row>
    <row r="62" ht="15.75" spans="1:9">
      <c r="A62" s="18"/>
      <c r="B62" s="19" t="s">
        <v>104</v>
      </c>
      <c r="C62" s="16" t="s">
        <v>105</v>
      </c>
      <c r="D62" s="16">
        <v>1351.854</v>
      </c>
      <c r="E62" s="16">
        <v>13.7286548309595</v>
      </c>
      <c r="F62" s="16">
        <f t="shared" si="0"/>
        <v>0.0101554271622228</v>
      </c>
      <c r="G62" s="12"/>
      <c r="H62" s="8"/>
      <c r="I62" s="2"/>
    </row>
    <row r="63" ht="27.75" spans="1:9">
      <c r="A63" s="18"/>
      <c r="B63" s="20" t="s">
        <v>106</v>
      </c>
      <c r="C63" s="16" t="s">
        <v>107</v>
      </c>
      <c r="D63" s="16">
        <v>1456.006</v>
      </c>
      <c r="E63" s="16">
        <v>5.92743087158981</v>
      </c>
      <c r="F63" s="16">
        <f t="shared" si="0"/>
        <v>0.00407102091034639</v>
      </c>
      <c r="G63" s="12"/>
      <c r="H63" s="8"/>
      <c r="I63" s="2"/>
    </row>
    <row r="64" spans="1:9">
      <c r="A64" s="18"/>
      <c r="B64" s="16"/>
      <c r="C64" s="2"/>
      <c r="D64" s="2"/>
      <c r="E64" s="2"/>
      <c r="F64" s="2"/>
      <c r="G64" s="12"/>
      <c r="H64" s="8"/>
      <c r="I64" s="2"/>
    </row>
    <row r="65" spans="1:9">
      <c r="A65" s="18"/>
      <c r="B65" s="16"/>
      <c r="C65" s="2"/>
      <c r="D65" s="2"/>
      <c r="E65" s="2"/>
      <c r="F65" s="2"/>
      <c r="G65" s="12"/>
      <c r="H65" s="8"/>
      <c r="I65" s="2"/>
    </row>
    <row r="66" spans="7:9">
      <c r="G66" s="11"/>
      <c r="H66" s="8"/>
      <c r="I66" s="2"/>
    </row>
    <row r="67" ht="15.75" spans="1:9">
      <c r="A67" s="6" t="s">
        <v>108</v>
      </c>
      <c r="B67" s="6"/>
      <c r="C67" s="6"/>
      <c r="D67" s="6"/>
      <c r="E67" s="6"/>
      <c r="F67" s="6"/>
      <c r="G67" s="12"/>
      <c r="H67" s="8"/>
      <c r="I67" s="2"/>
    </row>
    <row r="68" ht="31.5" spans="1:9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2"/>
      <c r="H68" s="8"/>
      <c r="I68" s="2"/>
    </row>
    <row r="69" spans="1:9">
      <c r="A69" s="16" t="s">
        <v>10</v>
      </c>
      <c r="B69" s="16" t="s">
        <v>109</v>
      </c>
      <c r="C69" s="2" t="s">
        <v>110</v>
      </c>
      <c r="D69" s="2">
        <v>38.964</v>
      </c>
      <c r="E69" s="3">
        <v>14.7614503424141</v>
      </c>
      <c r="F69" s="2">
        <f>E69/D69</f>
        <v>0.378848432974388</v>
      </c>
      <c r="G69" s="12"/>
      <c r="H69" s="8"/>
      <c r="I69" s="2"/>
    </row>
    <row r="70" spans="1:9">
      <c r="A70" s="2"/>
      <c r="B70" s="2" t="s">
        <v>111</v>
      </c>
      <c r="C70" s="2" t="s">
        <v>112</v>
      </c>
      <c r="D70" s="2">
        <v>18.039</v>
      </c>
      <c r="E70" s="3">
        <v>0.455606633399476</v>
      </c>
      <c r="F70" s="2">
        <f t="shared" ref="F70:F81" si="1">E70/D70</f>
        <v>0.0252567566605397</v>
      </c>
      <c r="G70" s="12"/>
      <c r="H70" s="8"/>
      <c r="I70" s="2"/>
    </row>
    <row r="71" spans="1:9">
      <c r="A71" s="2"/>
      <c r="B71" s="2" t="s">
        <v>113</v>
      </c>
      <c r="C71" s="2" t="s">
        <v>114</v>
      </c>
      <c r="D71" s="2">
        <v>23.985</v>
      </c>
      <c r="E71" s="3">
        <v>0.40385553900203</v>
      </c>
      <c r="F71" s="2">
        <f t="shared" si="1"/>
        <v>0.0168378377736931</v>
      </c>
      <c r="G71" s="12"/>
      <c r="H71" s="8"/>
      <c r="I71" s="2"/>
    </row>
    <row r="72" spans="1:9">
      <c r="A72" s="2"/>
      <c r="B72" s="2" t="s">
        <v>115</v>
      </c>
      <c r="C72" s="2" t="s">
        <v>116</v>
      </c>
      <c r="D72" s="2">
        <v>39.963</v>
      </c>
      <c r="E72" s="3">
        <v>0.403730265488994</v>
      </c>
      <c r="F72" s="2">
        <f t="shared" si="1"/>
        <v>0.0101026015436527</v>
      </c>
      <c r="G72" s="12"/>
      <c r="H72" s="8"/>
      <c r="I72" s="2"/>
    </row>
    <row r="73" spans="1:9">
      <c r="A73" s="2"/>
      <c r="B73" s="2" t="s">
        <v>117</v>
      </c>
      <c r="C73" s="2" t="s">
        <v>118</v>
      </c>
      <c r="D73" s="2">
        <v>55.935</v>
      </c>
      <c r="E73" s="3">
        <v>0.847640494878973</v>
      </c>
      <c r="F73" s="2">
        <f t="shared" si="1"/>
        <v>0.0151540269040667</v>
      </c>
      <c r="G73" s="12"/>
      <c r="H73" s="8"/>
      <c r="I73" s="2"/>
    </row>
    <row r="74" spans="1:9">
      <c r="A74" s="2"/>
      <c r="B74" s="2" t="s">
        <v>119</v>
      </c>
      <c r="C74" s="2" t="s">
        <v>120</v>
      </c>
      <c r="D74" s="2">
        <v>55.935</v>
      </c>
      <c r="E74" s="3">
        <v>0.847640494878973</v>
      </c>
      <c r="F74" s="2">
        <f t="shared" si="1"/>
        <v>0.0151540269040667</v>
      </c>
      <c r="G74" s="12"/>
      <c r="H74" s="8"/>
      <c r="I74" s="2"/>
    </row>
    <row r="75" spans="1:9">
      <c r="A75" s="2"/>
      <c r="B75" s="2" t="s">
        <v>121</v>
      </c>
      <c r="C75" s="2" t="s">
        <v>122</v>
      </c>
      <c r="D75" s="2">
        <v>63.546</v>
      </c>
      <c r="E75" s="3">
        <v>0.427990895666841</v>
      </c>
      <c r="F75" s="2">
        <f t="shared" si="1"/>
        <v>0.00673513510947725</v>
      </c>
      <c r="G75" s="12"/>
      <c r="H75" s="8"/>
      <c r="I75" s="2"/>
    </row>
    <row r="76" spans="1:9">
      <c r="A76" s="2"/>
      <c r="B76" s="2" t="s">
        <v>123</v>
      </c>
      <c r="C76" s="2" t="s">
        <v>124</v>
      </c>
      <c r="D76" s="2">
        <v>54.938</v>
      </c>
      <c r="E76" s="3">
        <v>0.370014852644461</v>
      </c>
      <c r="F76" s="2">
        <f t="shared" si="1"/>
        <v>0.00673513510947725</v>
      </c>
      <c r="G76" s="12"/>
      <c r="H76" s="8"/>
      <c r="I76" s="2"/>
    </row>
    <row r="77" spans="1:9">
      <c r="A77" s="2"/>
      <c r="B77" s="2" t="s">
        <v>125</v>
      </c>
      <c r="C77" s="2" t="s">
        <v>126</v>
      </c>
      <c r="D77" s="2">
        <v>58.933</v>
      </c>
      <c r="E77" s="3">
        <v>0.396923064433845</v>
      </c>
      <c r="F77" s="2">
        <f t="shared" si="1"/>
        <v>0.00673515796639989</v>
      </c>
      <c r="G77" s="12"/>
      <c r="H77" s="8"/>
      <c r="I77" s="2"/>
    </row>
    <row r="78" spans="1:9">
      <c r="A78" s="2"/>
      <c r="B78" s="2" t="s">
        <v>127</v>
      </c>
      <c r="C78" s="2" t="s">
        <v>128</v>
      </c>
      <c r="D78" s="2">
        <v>63.929</v>
      </c>
      <c r="E78" s="3">
        <v>0.430571125927282</v>
      </c>
      <c r="F78" s="2">
        <f t="shared" si="1"/>
        <v>0.0067351456448135</v>
      </c>
      <c r="G78" s="12"/>
      <c r="H78" s="8"/>
      <c r="I78" s="2"/>
    </row>
    <row r="79" spans="1:9">
      <c r="A79" s="2"/>
      <c r="B79" s="2" t="s">
        <v>129</v>
      </c>
      <c r="C79" s="2" t="s">
        <v>130</v>
      </c>
      <c r="D79" s="2">
        <v>34.969</v>
      </c>
      <c r="E79" s="3">
        <v>0.353280399194699</v>
      </c>
      <c r="F79" s="2">
        <f t="shared" si="1"/>
        <v>0.0101026737737624</v>
      </c>
      <c r="G79" s="12"/>
      <c r="H79" s="8"/>
      <c r="I79" s="2"/>
    </row>
    <row r="80" spans="1:9">
      <c r="A80" s="2"/>
      <c r="B80" s="2" t="s">
        <v>131</v>
      </c>
      <c r="C80" s="2" t="s">
        <v>132</v>
      </c>
      <c r="D80" s="2">
        <v>96.062</v>
      </c>
      <c r="E80" s="3">
        <v>0.808738186108255</v>
      </c>
      <c r="F80" s="2">
        <f t="shared" si="1"/>
        <v>0.00841891888684657</v>
      </c>
      <c r="G80" s="12"/>
      <c r="H80" s="8"/>
      <c r="I80" s="2"/>
    </row>
    <row r="81" spans="1:9">
      <c r="A81" s="2"/>
      <c r="B81" s="2" t="s">
        <v>133</v>
      </c>
      <c r="C81" s="2" t="s">
        <v>134</v>
      </c>
      <c r="D81" s="2">
        <v>95.978</v>
      </c>
      <c r="E81" s="3">
        <v>0.80803099692176</v>
      </c>
      <c r="F81" s="2">
        <f t="shared" si="1"/>
        <v>0.00841891888684657</v>
      </c>
      <c r="G81" s="12"/>
      <c r="H81" s="8"/>
      <c r="I81" s="2"/>
    </row>
    <row r="82" spans="1:9">
      <c r="A82" s="2"/>
      <c r="B82" s="2"/>
      <c r="C82" s="2"/>
      <c r="D82" s="2"/>
      <c r="E82" s="2"/>
      <c r="F82" s="2"/>
      <c r="G82" s="12"/>
      <c r="H82" s="8"/>
      <c r="I82" s="2"/>
    </row>
    <row r="83" ht="15.75" spans="1:9">
      <c r="A83" s="6" t="s">
        <v>135</v>
      </c>
      <c r="B83" s="6"/>
      <c r="C83" s="6"/>
      <c r="D83" s="6"/>
      <c r="E83" s="6"/>
      <c r="F83" s="6"/>
      <c r="G83" s="12"/>
      <c r="H83" s="8"/>
      <c r="I83" s="2"/>
    </row>
    <row r="84" ht="31.5" spans="1:9">
      <c r="A84" s="1" t="s">
        <v>14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19</v>
      </c>
      <c r="G84" s="12"/>
      <c r="H84" s="8"/>
      <c r="I84" s="2"/>
    </row>
    <row r="85" spans="1:9">
      <c r="A85" s="16" t="s">
        <v>11</v>
      </c>
      <c r="B85" s="16" t="s">
        <v>136</v>
      </c>
      <c r="C85" s="16" t="s">
        <v>137</v>
      </c>
      <c r="D85" s="2">
        <v>90.17</v>
      </c>
      <c r="E85" s="3">
        <v>7.31420782726016</v>
      </c>
      <c r="F85" s="2">
        <f>E85/D85</f>
        <v>0.0811157572059462</v>
      </c>
      <c r="G85" s="12"/>
      <c r="H85" s="8"/>
      <c r="I85" s="2"/>
    </row>
    <row r="86" spans="2:9">
      <c r="B86" s="16" t="s">
        <v>138</v>
      </c>
      <c r="C86" s="16" t="s">
        <v>139</v>
      </c>
      <c r="D86" s="2">
        <v>148.274</v>
      </c>
      <c r="E86" s="3">
        <v>2.43806927575339</v>
      </c>
      <c r="F86" s="2">
        <f t="shared" ref="F86:F111" si="2">E86/D86</f>
        <v>0.0164429992834441</v>
      </c>
      <c r="G86" s="11"/>
      <c r="H86" s="8"/>
      <c r="I86" s="2"/>
    </row>
    <row r="87" spans="2:9">
      <c r="B87" s="16" t="s">
        <v>140</v>
      </c>
      <c r="C87" s="16" t="s">
        <v>141</v>
      </c>
      <c r="D87" s="2">
        <v>805.545</v>
      </c>
      <c r="E87" s="3">
        <v>0.548276218697347</v>
      </c>
      <c r="F87" s="2">
        <f t="shared" si="2"/>
        <v>0.000680627672814488</v>
      </c>
      <c r="G87" s="12"/>
      <c r="H87" s="8"/>
      <c r="I87" s="2"/>
    </row>
    <row r="88" spans="2:9">
      <c r="B88" s="16" t="s">
        <v>142</v>
      </c>
      <c r="C88" s="16" t="s">
        <v>143</v>
      </c>
      <c r="D88" s="2">
        <v>763.508</v>
      </c>
      <c r="E88" s="3">
        <v>0.311798803929146</v>
      </c>
      <c r="F88" s="2">
        <f t="shared" si="2"/>
        <v>0.000408376603688693</v>
      </c>
      <c r="G88" s="12"/>
      <c r="H88" s="8"/>
      <c r="I88" s="2"/>
    </row>
    <row r="89" spans="2:9">
      <c r="B89" s="16" t="s">
        <v>144</v>
      </c>
      <c r="C89" s="16" t="s">
        <v>145</v>
      </c>
      <c r="D89" s="2">
        <v>862.573</v>
      </c>
      <c r="E89" s="3">
        <v>0.206656050875159</v>
      </c>
      <c r="F89" s="2">
        <f t="shared" si="2"/>
        <v>0.0002395809408307</v>
      </c>
      <c r="G89" s="12"/>
      <c r="H89" s="8"/>
      <c r="I89" s="2"/>
    </row>
    <row r="90" spans="2:9">
      <c r="B90" s="16" t="s">
        <v>146</v>
      </c>
      <c r="C90" s="16" t="s">
        <v>147</v>
      </c>
      <c r="D90" s="2">
        <v>848.546</v>
      </c>
      <c r="E90" s="3">
        <v>0.0646849155966767</v>
      </c>
      <c r="F90" s="2">
        <f t="shared" si="2"/>
        <v>7.62302993552226e-5</v>
      </c>
      <c r="G90" s="12"/>
      <c r="H90" s="8"/>
      <c r="I90" s="2"/>
    </row>
    <row r="91" spans="2:9">
      <c r="B91" s="16" t="s">
        <v>148</v>
      </c>
      <c r="C91" s="16" t="s">
        <v>149</v>
      </c>
      <c r="D91" s="2">
        <v>662.422</v>
      </c>
      <c r="E91" s="3">
        <v>2.88552156339916</v>
      </c>
      <c r="F91" s="2">
        <f t="shared" si="2"/>
        <v>0.00435601710601272</v>
      </c>
      <c r="G91" s="12"/>
      <c r="H91" s="8"/>
      <c r="I91" s="2"/>
    </row>
    <row r="92" spans="2:9">
      <c r="B92" s="16" t="s">
        <v>150</v>
      </c>
      <c r="C92" s="16" t="s">
        <v>151</v>
      </c>
      <c r="D92" s="2">
        <v>663.43</v>
      </c>
      <c r="E92" s="3">
        <v>0.0722478107160505</v>
      </c>
      <c r="F92" s="2">
        <f t="shared" si="2"/>
        <v>0.000108900427650318</v>
      </c>
      <c r="G92" s="12"/>
      <c r="H92" s="8"/>
      <c r="I92" s="2"/>
    </row>
    <row r="93" spans="2:9">
      <c r="B93" s="16" t="s">
        <v>152</v>
      </c>
      <c r="C93" s="16" t="s">
        <v>153</v>
      </c>
      <c r="D93" s="2">
        <v>740.385</v>
      </c>
      <c r="E93" s="3">
        <v>0.201570607814702</v>
      </c>
      <c r="F93" s="2">
        <f t="shared" si="2"/>
        <v>0.000272251069125795</v>
      </c>
      <c r="G93" s="12"/>
      <c r="H93" s="8"/>
      <c r="I93" s="2"/>
    </row>
    <row r="94" spans="2:9">
      <c r="B94" s="16" t="s">
        <v>154</v>
      </c>
      <c r="C94" s="16" t="s">
        <v>155</v>
      </c>
      <c r="D94" s="2">
        <v>741.393</v>
      </c>
      <c r="E94" s="3">
        <v>0.605535110677142</v>
      </c>
      <c r="F94" s="2">
        <f t="shared" si="2"/>
        <v>0.000816753207377385</v>
      </c>
      <c r="G94" s="12"/>
      <c r="H94" s="8"/>
      <c r="I94" s="2"/>
    </row>
    <row r="95" spans="2:9">
      <c r="B95" s="16" t="s">
        <v>156</v>
      </c>
      <c r="C95" s="16" t="s">
        <v>157</v>
      </c>
      <c r="D95" s="2">
        <v>783.541</v>
      </c>
      <c r="E95" s="3">
        <v>0.426639749907789</v>
      </c>
      <c r="F95" s="2">
        <f t="shared" si="2"/>
        <v>0.00054450213825159</v>
      </c>
      <c r="G95" s="12"/>
      <c r="H95" s="8"/>
      <c r="I95" s="2"/>
    </row>
    <row r="96" spans="2:9">
      <c r="B96" s="16" t="s">
        <v>158</v>
      </c>
      <c r="C96" s="16" t="s">
        <v>159</v>
      </c>
      <c r="D96" s="2">
        <v>443.42</v>
      </c>
      <c r="E96" s="3">
        <v>0.24144313814352</v>
      </c>
      <c r="F96" s="2">
        <f t="shared" si="2"/>
        <v>0.00054450213825159</v>
      </c>
      <c r="G96" s="12"/>
      <c r="H96" s="8"/>
      <c r="I96" s="2"/>
    </row>
    <row r="97" ht="45" spans="2:9">
      <c r="B97" s="16" t="s">
        <v>160</v>
      </c>
      <c r="C97" s="16" t="s">
        <v>161</v>
      </c>
      <c r="D97" s="2">
        <v>455.431</v>
      </c>
      <c r="E97" s="3">
        <v>0.24798315332606</v>
      </c>
      <c r="F97" s="2">
        <f t="shared" si="2"/>
        <v>0.00054450213825159</v>
      </c>
      <c r="G97" s="12"/>
      <c r="H97" s="8"/>
      <c r="I97" s="2"/>
    </row>
    <row r="98" spans="2:9">
      <c r="B98" s="16" t="s">
        <v>162</v>
      </c>
      <c r="C98" s="16" t="s">
        <v>163</v>
      </c>
      <c r="D98" s="2">
        <v>458.455</v>
      </c>
      <c r="E98" s="3">
        <v>0.249629727792133</v>
      </c>
      <c r="F98" s="2">
        <f t="shared" si="2"/>
        <v>0.00054450213825159</v>
      </c>
      <c r="G98" s="12"/>
      <c r="H98" s="8"/>
      <c r="I98" s="2"/>
    </row>
    <row r="99" spans="2:9">
      <c r="B99" s="16" t="s">
        <v>164</v>
      </c>
      <c r="C99" s="16" t="s">
        <v>165</v>
      </c>
      <c r="D99" s="2">
        <v>422.295</v>
      </c>
      <c r="E99" s="3">
        <v>0.229940530472955</v>
      </c>
      <c r="F99" s="2">
        <f t="shared" si="2"/>
        <v>0.00054450213825159</v>
      </c>
      <c r="G99" s="12"/>
      <c r="H99" s="8"/>
      <c r="I99" s="2"/>
    </row>
    <row r="100" spans="2:9">
      <c r="B100" s="16" t="s">
        <v>166</v>
      </c>
      <c r="C100" s="16" t="s">
        <v>167</v>
      </c>
      <c r="D100" s="2">
        <v>705.124</v>
      </c>
      <c r="E100" s="3">
        <v>0.383941525732514</v>
      </c>
      <c r="F100" s="2">
        <f t="shared" si="2"/>
        <v>0.00054450213825159</v>
      </c>
      <c r="G100" s="12"/>
      <c r="H100" s="8"/>
      <c r="I100" s="2"/>
    </row>
    <row r="101" spans="2:9">
      <c r="B101" s="16" t="s">
        <v>168</v>
      </c>
      <c r="C101" s="16" t="s">
        <v>169</v>
      </c>
      <c r="D101" s="2">
        <v>719.151</v>
      </c>
      <c r="E101" s="3">
        <v>0.391579257225769</v>
      </c>
      <c r="F101" s="2">
        <f t="shared" si="2"/>
        <v>0.00054450213825159</v>
      </c>
      <c r="G101" s="12"/>
      <c r="H101" s="8"/>
      <c r="I101" s="2"/>
    </row>
    <row r="102" spans="2:9">
      <c r="B102" s="16" t="s">
        <v>170</v>
      </c>
      <c r="C102" s="16" t="s">
        <v>171</v>
      </c>
      <c r="D102" s="2">
        <v>245.127</v>
      </c>
      <c r="E102" s="3">
        <v>0.133472175643198</v>
      </c>
      <c r="F102" s="2">
        <f t="shared" si="2"/>
        <v>0.00054450213825159</v>
      </c>
      <c r="G102" s="12"/>
      <c r="H102" s="8"/>
      <c r="I102" s="2"/>
    </row>
    <row r="103" spans="2:9">
      <c r="B103" s="16" t="s">
        <v>172</v>
      </c>
      <c r="C103" s="16" t="s">
        <v>173</v>
      </c>
      <c r="D103" s="2">
        <v>690.627</v>
      </c>
      <c r="E103" s="3">
        <v>0.376047823784067</v>
      </c>
      <c r="F103" s="2">
        <f t="shared" si="2"/>
        <v>0.00054450205940988</v>
      </c>
      <c r="G103" s="12"/>
      <c r="H103" s="8"/>
      <c r="I103" s="2"/>
    </row>
    <row r="104" spans="2:9">
      <c r="B104" s="16" t="s">
        <v>174</v>
      </c>
      <c r="C104" s="16" t="s">
        <v>175</v>
      </c>
      <c r="D104" s="2">
        <v>908.697</v>
      </c>
      <c r="E104" s="3">
        <v>0.494787405072591</v>
      </c>
      <c r="F104" s="2">
        <f t="shared" si="2"/>
        <v>0.000544502078330391</v>
      </c>
      <c r="G104" s="12"/>
      <c r="H104" s="8"/>
      <c r="I104" s="2"/>
    </row>
    <row r="105" spans="2:9">
      <c r="B105" s="16" t="s">
        <v>176</v>
      </c>
      <c r="C105" s="16" t="s">
        <v>177</v>
      </c>
      <c r="D105" s="2">
        <v>669.552</v>
      </c>
      <c r="E105" s="3">
        <v>0.364572495670629</v>
      </c>
      <c r="F105" s="2">
        <f t="shared" si="2"/>
        <v>0.00054450213825159</v>
      </c>
      <c r="G105" s="12"/>
      <c r="H105" s="8"/>
      <c r="I105" s="2"/>
    </row>
    <row r="106" spans="2:9">
      <c r="B106" s="16" t="s">
        <v>178</v>
      </c>
      <c r="C106" s="16" t="s">
        <v>179</v>
      </c>
      <c r="D106" s="2">
        <v>306.319</v>
      </c>
      <c r="E106" s="3">
        <v>0.166791350487089</v>
      </c>
      <c r="F106" s="2">
        <f t="shared" si="2"/>
        <v>0.00054450213825159</v>
      </c>
      <c r="G106" s="11"/>
      <c r="H106" s="8"/>
      <c r="I106" s="2"/>
    </row>
    <row r="107" spans="2:9">
      <c r="B107" s="16" t="s">
        <v>180</v>
      </c>
      <c r="C107" s="16" t="s">
        <v>181</v>
      </c>
      <c r="D107" s="2">
        <v>924.258</v>
      </c>
      <c r="E107" s="3">
        <v>0.124731818480531</v>
      </c>
      <c r="F107" s="2">
        <f t="shared" si="2"/>
        <v>0.000134953463730399</v>
      </c>
      <c r="G107" s="12"/>
      <c r="H107" s="8"/>
      <c r="I107" s="2"/>
    </row>
    <row r="108" spans="2:9">
      <c r="B108" s="16" t="s">
        <v>182</v>
      </c>
      <c r="C108" s="16" t="s">
        <v>183</v>
      </c>
      <c r="D108" s="2">
        <v>471.43</v>
      </c>
      <c r="E108" s="3">
        <v>0.256694643035947</v>
      </c>
      <c r="F108" s="2">
        <f t="shared" si="2"/>
        <v>0.00054450213825159</v>
      </c>
      <c r="G108" s="12"/>
      <c r="H108" s="8"/>
      <c r="I108" s="2"/>
    </row>
    <row r="109" spans="2:9">
      <c r="B109" s="16" t="s">
        <v>184</v>
      </c>
      <c r="C109" s="16" t="s">
        <v>185</v>
      </c>
      <c r="D109" s="2">
        <v>224.168</v>
      </c>
      <c r="E109" s="3">
        <v>0.122059955327582</v>
      </c>
      <c r="F109" s="2">
        <f t="shared" si="2"/>
        <v>0.00054450213825159</v>
      </c>
      <c r="G109" s="12"/>
      <c r="H109" s="8"/>
      <c r="I109" s="2"/>
    </row>
    <row r="110" spans="2:9">
      <c r="B110" s="16" t="s">
        <v>186</v>
      </c>
      <c r="C110" s="16" t="s">
        <v>187</v>
      </c>
      <c r="D110" s="2">
        <v>399.452</v>
      </c>
      <c r="E110" s="3">
        <v>0.217502468128874</v>
      </c>
      <c r="F110" s="2">
        <f t="shared" si="2"/>
        <v>0.00054450213825159</v>
      </c>
      <c r="G110" s="12"/>
      <c r="H110" s="8"/>
      <c r="I110" s="2"/>
    </row>
    <row r="111" spans="2:9">
      <c r="B111" s="16" t="s">
        <v>188</v>
      </c>
      <c r="C111" s="16" t="s">
        <v>189</v>
      </c>
      <c r="D111" s="2">
        <v>376.369</v>
      </c>
      <c r="E111" s="3">
        <v>0.204933725271613</v>
      </c>
      <c r="F111" s="2">
        <f t="shared" si="2"/>
        <v>0.00054450213825159</v>
      </c>
      <c r="G111" s="12"/>
      <c r="H111" s="8"/>
      <c r="I111" s="2"/>
    </row>
    <row r="112" spans="2:7">
      <c r="B112" s="19"/>
      <c r="G112" s="12"/>
    </row>
    <row r="113" spans="2:7">
      <c r="B113" s="19"/>
      <c r="G113" s="12"/>
    </row>
    <row r="114" spans="2:7">
      <c r="B114" s="3" t="s">
        <v>190</v>
      </c>
      <c r="C114" s="3">
        <v>26.48</v>
      </c>
      <c r="G114" s="12"/>
    </row>
    <row r="115" spans="2:7">
      <c r="B115" s="3" t="s">
        <v>191</v>
      </c>
      <c r="C115" s="3">
        <v>0.81</v>
      </c>
      <c r="G115" s="12"/>
    </row>
    <row r="116" spans="2:7">
      <c r="B116" s="3" t="s">
        <v>192</v>
      </c>
      <c r="C116" s="5" t="s">
        <v>193</v>
      </c>
      <c r="G116" s="12"/>
    </row>
    <row r="117" spans="7:7">
      <c r="G117" s="12"/>
    </row>
    <row r="118" spans="7:7">
      <c r="G118" s="12"/>
    </row>
    <row r="119" spans="7:7">
      <c r="G119" s="12"/>
    </row>
    <row r="120" spans="7:7">
      <c r="G120" s="12"/>
    </row>
    <row r="121" spans="7:7">
      <c r="G121" s="12"/>
    </row>
    <row r="122" spans="2:7">
      <c r="B122" s="2"/>
      <c r="G122" s="12"/>
    </row>
    <row r="123" spans="2:7">
      <c r="B123" s="2"/>
      <c r="G123" s="12"/>
    </row>
    <row r="124" spans="2:7">
      <c r="B124" s="2"/>
      <c r="G124" s="1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</sheetData>
  <mergeCells count="9">
    <mergeCell ref="A1:F1"/>
    <mergeCell ref="A24:F24"/>
    <mergeCell ref="A31:F31"/>
    <mergeCell ref="A38:F38"/>
    <mergeCell ref="A42:F42"/>
    <mergeCell ref="A52:F52"/>
    <mergeCell ref="A56:F56"/>
    <mergeCell ref="A67:F67"/>
    <mergeCell ref="A83:F8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Biomass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+</dc:creator>
  <cp:lastModifiedBy>一</cp:lastModifiedBy>
  <dcterms:created xsi:type="dcterms:W3CDTF">2024-07-30T05:50:00Z</dcterms:created>
  <dcterms:modified xsi:type="dcterms:W3CDTF">2025-04-11T05:35:46Z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028BE0E1D97D42BCB34A866285A400E0_13</vt:lpwstr>
  </property>
  <property fmtid="{D5CDD505-2E9C-101B-9397-08002B2CF9AE}" pid="3" name="KSOProductBuildVer">
    <vt:lpwstr>2052-12.1.0.16929</vt:lpwstr>
  </property>
</Properties>
</file>